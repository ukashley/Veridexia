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Jessica\Documents\GitHub\COMP-3000\"/>
    </mc:Choice>
  </mc:AlternateContent>
  <xr:revisionPtr revIDLastSave="0" documentId="13_ncr:1_{0696894F-86D0-4137-8E82-E32550B54612}" xr6:coauthVersionLast="47" xr6:coauthVersionMax="47" xr10:uidLastSave="{00000000-0000-0000-0000-000000000000}"/>
  <bookViews>
    <workbookView xWindow="-120" yWindow="-120" windowWidth="24240" windowHeight="13140" xr2:uid="{00000000-000D-0000-FFFF-FFFF00000000}"/>
  </bookViews>
  <sheets>
    <sheet name="Project schedule" sheetId="11" r:id="rId1"/>
    <sheet name="About" sheetId="12" r:id="rId2"/>
  </sheets>
  <definedNames>
    <definedName name="Display_Week">'Project schedule'!$AA$2</definedName>
    <definedName name="_xlnm.Print_Titles" localSheetId="0">'Project schedule'!$4:$6</definedName>
    <definedName name="Project_Start">'Project schedule'!$AA$1</definedName>
    <definedName name="task_end" localSheetId="0">'Project schedule'!$E1</definedName>
    <definedName name="task_progress" localSheetId="0">'Project schedule'!$C1</definedName>
    <definedName name="task_start" localSheetId="0">'Project schedule'!$D1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3" i="11" l="1"/>
  <c r="E43" i="11" s="1"/>
  <c r="E42" i="11"/>
  <c r="D42" i="11"/>
  <c r="E41" i="11"/>
  <c r="D41" i="11"/>
  <c r="E40" i="11"/>
  <c r="D40" i="11"/>
  <c r="E39" i="11"/>
  <c r="D39" i="11"/>
  <c r="E37" i="11"/>
  <c r="D37" i="11"/>
  <c r="E36" i="11"/>
  <c r="E35" i="11"/>
  <c r="D35" i="11"/>
  <c r="E34" i="11"/>
  <c r="D34" i="11"/>
  <c r="E33" i="11"/>
  <c r="D33" i="11"/>
  <c r="E31" i="11"/>
  <c r="E30" i="11"/>
  <c r="E29" i="11"/>
  <c r="E28" i="11"/>
  <c r="AA1" i="11"/>
  <c r="D9" i="11" s="1"/>
  <c r="G7" i="11"/>
  <c r="E9" i="11" l="1"/>
  <c r="D10" i="11" s="1"/>
  <c r="H5" i="11"/>
  <c r="H4" i="11" s="1"/>
  <c r="G26" i="11"/>
  <c r="G20" i="11"/>
  <c r="G14" i="11"/>
  <c r="G8" i="11"/>
  <c r="D13" i="11" l="1"/>
  <c r="E10" i="11"/>
  <c r="D11" i="11" s="1"/>
  <c r="E11" i="11" s="1"/>
  <c r="D12" i="11" s="1"/>
  <c r="E12" i="11" s="1"/>
  <c r="G9" i="11"/>
  <c r="H6" i="11"/>
  <c r="G44" i="11" l="1"/>
  <c r="E13" i="11"/>
  <c r="G13" i="11" s="1"/>
  <c r="D15" i="11"/>
  <c r="G10" i="11"/>
  <c r="I5" i="11"/>
  <c r="J5" i="11" s="1"/>
  <c r="K5" i="11" s="1"/>
  <c r="L5" i="11" s="1"/>
  <c r="M5" i="11" s="1"/>
  <c r="N5" i="11" s="1"/>
  <c r="O5" i="11" s="1"/>
  <c r="D16" i="11" l="1"/>
  <c r="E16" i="11" s="1"/>
  <c r="D17" i="11" s="1"/>
  <c r="E15" i="11"/>
  <c r="G15" i="11" s="1"/>
  <c r="G11" i="11"/>
  <c r="G12" i="11"/>
  <c r="O4" i="11"/>
  <c r="P5" i="11"/>
  <c r="Q5" i="11" s="1"/>
  <c r="R5" i="11" s="1"/>
  <c r="S5" i="11" s="1"/>
  <c r="T5" i="11" s="1"/>
  <c r="U5" i="11" s="1"/>
  <c r="V5" i="11" s="1"/>
  <c r="V4" i="11" s="1"/>
  <c r="I6" i="11"/>
  <c r="G16" i="11" l="1"/>
  <c r="D18" i="11"/>
  <c r="E17" i="11"/>
  <c r="G17" i="11" s="1"/>
  <c r="W5" i="11"/>
  <c r="X5" i="11" s="1"/>
  <c r="Y5" i="11" s="1"/>
  <c r="Z5" i="11" s="1"/>
  <c r="AA5" i="11" s="1"/>
  <c r="AB5" i="11" s="1"/>
  <c r="AC5" i="11" s="1"/>
  <c r="J6" i="11"/>
  <c r="E18" i="11" l="1"/>
  <c r="G18" i="11" s="1"/>
  <c r="D19" i="11"/>
  <c r="AD5" i="11"/>
  <c r="AE5" i="11" s="1"/>
  <c r="AF5" i="11" s="1"/>
  <c r="AG5" i="11" s="1"/>
  <c r="AH5" i="11" s="1"/>
  <c r="AI5" i="11" s="1"/>
  <c r="AC4" i="11"/>
  <c r="K6" i="11"/>
  <c r="E19" i="11" l="1"/>
  <c r="D21" i="11" s="1"/>
  <c r="AJ5" i="11"/>
  <c r="AK5" i="11" s="1"/>
  <c r="AL5" i="11" s="1"/>
  <c r="AM5" i="11" s="1"/>
  <c r="AN5" i="11" s="1"/>
  <c r="AO5" i="11" s="1"/>
  <c r="AP5" i="11" s="1"/>
  <c r="L6" i="11"/>
  <c r="G19" i="11" l="1"/>
  <c r="E21" i="11"/>
  <c r="D22" i="11" s="1"/>
  <c r="AQ5" i="11"/>
  <c r="AR5" i="11" s="1"/>
  <c r="AJ4" i="11"/>
  <c r="M6" i="11"/>
  <c r="G21" i="11" l="1"/>
  <c r="E22" i="11"/>
  <c r="G22" i="11" s="1"/>
  <c r="D23" i="11"/>
  <c r="AS5" i="11"/>
  <c r="AR6" i="11"/>
  <c r="AQ4" i="11"/>
  <c r="N6" i="11"/>
  <c r="E23" i="11" l="1"/>
  <c r="D24" i="11" s="1"/>
  <c r="AT5" i="11"/>
  <c r="AS6" i="11"/>
  <c r="G23" i="11" l="1"/>
  <c r="E24" i="11"/>
  <c r="D25" i="11" s="1"/>
  <c r="AU5" i="11"/>
  <c r="AT6" i="11"/>
  <c r="O6" i="11"/>
  <c r="P6" i="11"/>
  <c r="G24" i="11" l="1"/>
  <c r="D27" i="11"/>
  <c r="E25" i="11"/>
  <c r="G25" i="11" s="1"/>
  <c r="AV5" i="11"/>
  <c r="AU6" i="11"/>
  <c r="Q6" i="11"/>
  <c r="E27" i="11" l="1"/>
  <c r="D28" i="11" s="1"/>
  <c r="AW5" i="11"/>
  <c r="AX5" i="11" s="1"/>
  <c r="AV6" i="11"/>
  <c r="R6" i="11"/>
  <c r="G27" i="11" l="1"/>
  <c r="D29" i="11"/>
  <c r="AX6" i="11"/>
  <c r="AY5" i="11"/>
  <c r="AX4" i="11"/>
  <c r="AW6" i="11"/>
  <c r="S6" i="11"/>
  <c r="G28" i="11" l="1"/>
  <c r="D30" i="11"/>
  <c r="AZ5" i="11"/>
  <c r="AY6" i="11"/>
  <c r="T6" i="11"/>
  <c r="G29" i="11" l="1"/>
  <c r="D31" i="11"/>
  <c r="G32" i="11" s="1"/>
  <c r="AZ6" i="11"/>
  <c r="BA5" i="11"/>
  <c r="U6" i="11"/>
  <c r="G30" i="11" l="1"/>
  <c r="BA6" i="11"/>
  <c r="BB5" i="11"/>
  <c r="V6" i="11"/>
  <c r="G31" i="11" l="1"/>
  <c r="BB6" i="11"/>
  <c r="BC5" i="11"/>
  <c r="W6" i="11"/>
  <c r="D36" i="11" l="1"/>
  <c r="BD5" i="11"/>
  <c r="BC6" i="11"/>
  <c r="X6" i="11"/>
  <c r="BD6" i="11" l="1"/>
  <c r="BE5" i="11"/>
  <c r="Y6" i="11"/>
  <c r="BE6" i="11" l="1"/>
  <c r="BF5" i="11"/>
  <c r="BE4" i="11"/>
  <c r="Z6" i="11"/>
  <c r="BF6" i="11" l="1"/>
  <c r="BG5" i="11"/>
  <c r="AA6" i="11"/>
  <c r="BH5" i="11" l="1"/>
  <c r="BG6" i="11"/>
  <c r="AB6" i="11"/>
  <c r="BI5" i="11" l="1"/>
  <c r="BH6" i="11"/>
  <c r="AC6" i="11"/>
  <c r="BJ5" i="11" l="1"/>
  <c r="BI6" i="11"/>
  <c r="AD6" i="11"/>
  <c r="BK5" i="11" l="1"/>
  <c r="BJ6" i="11"/>
  <c r="AE6" i="11"/>
  <c r="BK6" i="11" l="1"/>
  <c r="AF6" i="11"/>
  <c r="AG6" i="11" l="1"/>
  <c r="AH6" i="11" l="1"/>
  <c r="AI6" i="11" l="1"/>
  <c r="AJ6" i="11" l="1"/>
  <c r="AK6" i="11" l="1"/>
  <c r="AL6" i="11" l="1"/>
  <c r="AM6" i="11" l="1"/>
  <c r="AN6" i="11" l="1"/>
  <c r="AO6" i="11" l="1"/>
  <c r="AP6" i="11" l="1"/>
  <c r="AQ6" i="11" l="1"/>
</calcChain>
</file>

<file path=xl/sharedStrings.xml><?xml version="1.0" encoding="utf-8"?>
<sst xmlns="http://schemas.openxmlformats.org/spreadsheetml/2006/main" count="59" uniqueCount="59">
  <si>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</si>
  <si>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</si>
  <si>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</si>
  <si>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</si>
  <si>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</si>
  <si>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</si>
  <si>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</si>
  <si>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</si>
  <si>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</si>
  <si>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</si>
  <si>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</si>
  <si>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</si>
  <si>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</si>
  <si>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</si>
  <si>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</si>
  <si>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</si>
  <si>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</si>
  <si>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</si>
  <si>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</si>
  <si>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</si>
  <si>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</si>
  <si>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AI-Powered Phishing Detector</t>
  </si>
  <si>
    <t>Ukenna Ashley</t>
  </si>
  <si>
    <t>Project Preparation</t>
  </si>
  <si>
    <t>Research Topic</t>
  </si>
  <si>
    <t>Develop Project Idea</t>
  </si>
  <si>
    <t>Define Scope</t>
  </si>
  <si>
    <t>Initial Proposal</t>
  </si>
  <si>
    <t>Supervisor Selection</t>
  </si>
  <si>
    <t>Project Initiation</t>
  </si>
  <si>
    <t>Requirements Analysis</t>
  </si>
  <si>
    <t>Project Vision</t>
  </si>
  <si>
    <t>Risk Plan</t>
  </si>
  <si>
    <t>LSEP</t>
  </si>
  <si>
    <t>Gantt Chart</t>
  </si>
  <si>
    <t>System Design &amp; Data Preparation</t>
  </si>
  <si>
    <t>System Architecture</t>
  </si>
  <si>
    <t>Collect Datasets</t>
  </si>
  <si>
    <t>UI Mockup &amp; Define Frontend</t>
  </si>
  <si>
    <t>Model Training</t>
  </si>
  <si>
    <t>Baseline Model Setup</t>
  </si>
  <si>
    <t>Model Development &amp; Integration</t>
  </si>
  <si>
    <t>Execute Detection Model</t>
  </si>
  <si>
    <t>Evaluate Model Performance</t>
  </si>
  <si>
    <t>Integrate LLM Explanaibility</t>
  </si>
  <si>
    <t>Implementation &amp; Testing</t>
  </si>
  <si>
    <t>Documentation &amp; Presentation</t>
  </si>
  <si>
    <t>Build Web Interface</t>
  </si>
  <si>
    <t>Connect Backend&amp;Model</t>
  </si>
  <si>
    <t>Usability&amp;Functional Testing</t>
  </si>
  <si>
    <t>Optimize Performance</t>
  </si>
  <si>
    <t>Finalize Working Demo</t>
  </si>
  <si>
    <t>Initial Integration Tests</t>
  </si>
  <si>
    <t>Internal Demo Testing</t>
  </si>
  <si>
    <t>Poster &amp; Thumbnail</t>
  </si>
  <si>
    <t>Record 5 min Video</t>
  </si>
  <si>
    <t>Write Final Report</t>
  </si>
  <si>
    <t>Complete Pebble Pad</t>
  </si>
  <si>
    <t>Showcase and Viva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</si>
</sst>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8"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sz val="11"/>
      <color theme="1"/>
      <name val="Arial"/>
      <family val="2"/>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b/>
      <sz val="30"/>
      <color theme="9"/>
      <name val="Arial Black"/>
      <family val="2"/>
      <scheme val="major"/>
    </font>
  </fonts>
  <fills count="1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7" tint="0.39997558519241921"/>
        <bgColor indexed="64"/>
      </patternFill>
    </fill>
    <fill>
      <patternFill patternType="solid">
        <fgColor rgb="FF00B050"/>
        <bgColor indexed="64"/>
      </patternFill>
    </fill>
    <fill>
      <patternFill patternType="solid">
        <fgColor theme="0"/>
        <bgColor indexed="64"/>
      </patternFill>
    </fill>
    <fill>
      <patternFill patternType="solid">
        <fgColor theme="0" tint="-0.149998474074526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3">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11" fillId="0" borderId="0" xfId="0" applyFont="1" applyAlignment="1">
      <alignment horizontal="center"/>
    </xf>
    <xf numFmtId="0" fontId="3" fillId="0" borderId="0" xfId="0" applyFont="1" applyAlignment="1">
      <alignment horizontal="center" vertical="center"/>
    </xf>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3" fillId="0" borderId="0" xfId="0" applyFont="1"/>
    <xf numFmtId="0" fontId="13" fillId="0" borderId="0" xfId="0" applyFont="1" applyAlignment="1">
      <alignment horizontal="center"/>
    </xf>
    <xf numFmtId="0" fontId="14"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7" fillId="12" borderId="20" xfId="0" applyNumberFormat="1" applyFont="1" applyFill="1" applyBorder="1" applyAlignment="1">
      <alignment horizontal="center" vertical="center"/>
    </xf>
    <xf numFmtId="167" fontId="17" fillId="12" borderId="18" xfId="0" applyNumberFormat="1" applyFont="1" applyFill="1" applyBorder="1" applyAlignment="1">
      <alignment horizontal="center" vertical="center"/>
    </xf>
    <xf numFmtId="167" fontId="17" fillId="12" borderId="19" xfId="0" applyNumberFormat="1" applyFont="1" applyFill="1" applyBorder="1" applyAlignment="1">
      <alignment horizontal="center" vertical="center"/>
    </xf>
    <xf numFmtId="0" fontId="18" fillId="2" borderId="17" xfId="0" applyFont="1" applyFill="1" applyBorder="1" applyAlignment="1">
      <alignment horizontal="center" vertical="center" shrinkToFit="1"/>
    </xf>
    <xf numFmtId="0" fontId="18" fillId="2" borderId="14" xfId="0" applyFont="1" applyFill="1" applyBorder="1" applyAlignment="1">
      <alignment horizontal="center" vertical="center" shrinkToFit="1"/>
    </xf>
    <xf numFmtId="0" fontId="18" fillId="2" borderId="15" xfId="0" applyFont="1" applyFill="1" applyBorder="1" applyAlignment="1">
      <alignment horizontal="center" vertical="center" shrinkToFit="1"/>
    </xf>
    <xf numFmtId="0" fontId="15" fillId="0" borderId="0" xfId="0" applyFont="1"/>
    <xf numFmtId="0" fontId="4" fillId="0" borderId="3" xfId="0" applyFont="1" applyBorder="1" applyAlignment="1">
      <alignment vertical="center"/>
    </xf>
    <xf numFmtId="0" fontId="19" fillId="6" borderId="0" xfId="0" applyFont="1" applyFill="1" applyAlignment="1">
      <alignment horizontal="left" vertical="center" indent="1"/>
    </xf>
    <xf numFmtId="9" fontId="1" fillId="6" borderId="0" xfId="2" applyFont="1" applyFill="1" applyBorder="1" applyAlignment="1">
      <alignment horizontal="center" vertical="center"/>
    </xf>
    <xf numFmtId="164" fontId="15"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5" fillId="3" borderId="6" xfId="12" applyFont="1" applyFill="1" applyBorder="1">
      <alignment horizontal="left" vertical="center" indent="2"/>
    </xf>
    <xf numFmtId="9" fontId="1" fillId="3" borderId="6" xfId="2" applyFont="1" applyFill="1" applyBorder="1" applyAlignment="1">
      <alignment horizontal="center" vertical="center"/>
    </xf>
    <xf numFmtId="164" fontId="15" fillId="3" borderId="6" xfId="10" applyFont="1" applyFill="1" applyBorder="1">
      <alignment horizontal="center" vertical="center"/>
    </xf>
    <xf numFmtId="0" fontId="4" fillId="0" borderId="4" xfId="0" applyFont="1" applyBorder="1" applyAlignment="1">
      <alignment vertical="center"/>
    </xf>
    <xf numFmtId="0" fontId="15" fillId="3" borderId="7" xfId="12" applyFont="1" applyFill="1" applyBorder="1">
      <alignment horizontal="left" vertical="center" indent="2"/>
    </xf>
    <xf numFmtId="9" fontId="1" fillId="3" borderId="7" xfId="2" applyFont="1" applyFill="1" applyBorder="1" applyAlignment="1">
      <alignment horizontal="center" vertical="center"/>
    </xf>
    <xf numFmtId="164" fontId="15" fillId="3" borderId="7" xfId="10" applyFont="1" applyFill="1" applyBorder="1">
      <alignment horizontal="center" vertical="center"/>
    </xf>
    <xf numFmtId="0" fontId="4" fillId="0" borderId="4" xfId="0" applyFont="1" applyBorder="1" applyAlignment="1">
      <alignment horizontal="right" vertical="center"/>
    </xf>
    <xf numFmtId="0" fontId="19" fillId="7" borderId="0" xfId="0" applyFont="1" applyFill="1" applyAlignment="1">
      <alignment horizontal="left" vertical="center" indent="1"/>
    </xf>
    <xf numFmtId="9" fontId="1" fillId="7" borderId="0" xfId="2" applyFont="1" applyFill="1" applyBorder="1" applyAlignment="1">
      <alignment horizontal="center" vertical="center"/>
    </xf>
    <xf numFmtId="164" fontId="15"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5" fillId="4" borderId="5" xfId="12" applyFont="1" applyFill="1" applyBorder="1">
      <alignment horizontal="left" vertical="center" indent="2"/>
    </xf>
    <xf numFmtId="9" fontId="1" fillId="4" borderId="5" xfId="2" applyFont="1" applyFill="1" applyBorder="1" applyAlignment="1">
      <alignment horizontal="center" vertical="center"/>
    </xf>
    <xf numFmtId="164" fontId="15" fillId="4" borderId="5" xfId="10" applyFont="1" applyFill="1" applyBorder="1">
      <alignment horizontal="center" vertical="center"/>
    </xf>
    <xf numFmtId="0" fontId="19" fillId="8" borderId="0" xfId="0" applyFont="1" applyFill="1" applyAlignment="1">
      <alignment horizontal="left" vertical="center" indent="1"/>
    </xf>
    <xf numFmtId="9" fontId="1" fillId="8" borderId="0" xfId="2" applyFont="1" applyFill="1" applyBorder="1" applyAlignment="1">
      <alignment horizontal="center" vertical="center"/>
    </xf>
    <xf numFmtId="164" fontId="15"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5" fillId="5" borderId="8" xfId="12" applyFont="1" applyFill="1" applyBorder="1">
      <alignment horizontal="left" vertical="center" indent="2"/>
    </xf>
    <xf numFmtId="9" fontId="1" fillId="5" borderId="8" xfId="2" applyFont="1" applyFill="1" applyBorder="1" applyAlignment="1">
      <alignment horizontal="center" vertical="center"/>
    </xf>
    <xf numFmtId="164" fontId="15" fillId="5" borderId="8" xfId="10" applyFont="1" applyFill="1" applyBorder="1">
      <alignment horizontal="center" vertical="center"/>
    </xf>
    <xf numFmtId="0" fontId="19" fillId="9" borderId="0" xfId="0" applyFont="1" applyFill="1" applyAlignment="1">
      <alignment horizontal="left" vertical="center" indent="1"/>
    </xf>
    <xf numFmtId="9" fontId="1" fillId="9" borderId="0" xfId="2" applyFont="1" applyFill="1" applyBorder="1" applyAlignment="1">
      <alignment horizontal="center" vertical="center"/>
    </xf>
    <xf numFmtId="164" fontId="15"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5" fillId="10" borderId="9" xfId="12" applyFont="1" applyFill="1" applyBorder="1">
      <alignment horizontal="left" vertical="center" indent="2"/>
    </xf>
    <xf numFmtId="9" fontId="1" fillId="10" borderId="9" xfId="2" applyFont="1" applyFill="1" applyBorder="1" applyAlignment="1">
      <alignment horizontal="center" vertical="center"/>
    </xf>
    <xf numFmtId="164" fontId="15" fillId="10" borderId="9" xfId="10" applyFont="1" applyFill="1" applyBorder="1">
      <alignment horizontal="center" vertical="center"/>
    </xf>
    <xf numFmtId="0" fontId="20" fillId="2" borderId="0" xfId="0" applyFont="1" applyFill="1" applyAlignment="1">
      <alignment horizontal="left" vertical="center" indent="1"/>
    </xf>
    <xf numFmtId="9" fontId="1" fillId="2" borderId="0" xfId="2" applyFont="1" applyFill="1" applyBorder="1" applyAlignment="1">
      <alignment horizontal="center" vertical="center"/>
    </xf>
    <xf numFmtId="164" fontId="21"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2" fillId="0" borderId="0" xfId="6" applyFont="1" applyAlignment="1">
      <alignment horizontal="left" vertical="center" indent="1"/>
    </xf>
    <xf numFmtId="0" fontId="7" fillId="0" borderId="0" xfId="0" applyFont="1" applyAlignment="1">
      <alignment horizontal="left" vertical="center" indent="1"/>
    </xf>
    <xf numFmtId="0" fontId="3" fillId="0" borderId="0" xfId="0" applyFont="1" applyAlignment="1">
      <alignment horizontal="left" vertical="top" indent="1"/>
    </xf>
    <xf numFmtId="0" fontId="22" fillId="0" borderId="0" xfId="0" applyFont="1" applyAlignment="1">
      <alignment horizontal="left" vertical="center" indent="1"/>
    </xf>
    <xf numFmtId="0" fontId="25" fillId="0" borderId="0" xfId="0" applyFont="1" applyAlignment="1">
      <alignment horizontal="left" vertical="top" wrapText="1" indent="1"/>
    </xf>
    <xf numFmtId="0" fontId="0" fillId="0" borderId="0" xfId="0" applyAlignment="1">
      <alignment horizontal="left" vertical="top" wrapText="1" indent="1"/>
    </xf>
    <xf numFmtId="0" fontId="26" fillId="0" borderId="0" xfId="1" applyFont="1" applyAlignment="1" applyProtection="1">
      <alignment horizontal="left" vertical="top" indent="1"/>
    </xf>
    <xf numFmtId="0" fontId="1" fillId="0" borderId="0" xfId="0" applyFont="1" applyAlignment="1">
      <alignment horizontal="left" vertical="top" indent="1"/>
    </xf>
    <xf numFmtId="0" fontId="27" fillId="0" borderId="0" xfId="5" applyFont="1" applyAlignment="1">
      <alignment horizontal="left"/>
    </xf>
    <xf numFmtId="0" fontId="1" fillId="5" borderId="8" xfId="12" applyFont="1" applyFill="1" applyBorder="1">
      <alignment horizontal="left" vertical="center" indent="2"/>
    </xf>
    <xf numFmtId="0" fontId="19" fillId="13" borderId="0" xfId="0" applyFont="1" applyFill="1" applyAlignment="1">
      <alignment horizontal="left" vertical="center" indent="1"/>
    </xf>
    <xf numFmtId="9" fontId="1" fillId="13" borderId="0" xfId="2" applyFont="1" applyFill="1" applyBorder="1" applyAlignment="1">
      <alignment horizontal="center" vertical="center"/>
    </xf>
    <xf numFmtId="164" fontId="15" fillId="13" borderId="0" xfId="0" applyNumberFormat="1" applyFont="1" applyFill="1" applyAlignment="1">
      <alignment horizontal="center" vertical="center"/>
    </xf>
    <xf numFmtId="164" fontId="1" fillId="13" borderId="0" xfId="0" applyNumberFormat="1" applyFont="1" applyFill="1" applyAlignment="1">
      <alignment horizontal="center" vertical="center"/>
    </xf>
    <xf numFmtId="0" fontId="15" fillId="13" borderId="8" xfId="12" applyFont="1" applyFill="1" applyBorder="1">
      <alignment horizontal="left" vertical="center" indent="2"/>
    </xf>
    <xf numFmtId="9" fontId="1" fillId="13" borderId="8" xfId="2" applyFont="1" applyFill="1" applyBorder="1" applyAlignment="1">
      <alignment horizontal="center" vertical="center"/>
    </xf>
    <xf numFmtId="164" fontId="15" fillId="13" borderId="8" xfId="10" applyFont="1" applyFill="1" applyBorder="1">
      <alignment horizontal="center" vertical="center"/>
    </xf>
    <xf numFmtId="0" fontId="1" fillId="13" borderId="8" xfId="12" applyFont="1" applyFill="1" applyBorder="1">
      <alignment horizontal="left" vertical="center" indent="2"/>
    </xf>
    <xf numFmtId="0" fontId="19" fillId="14" borderId="0" xfId="0" applyFont="1" applyFill="1" applyAlignment="1">
      <alignment horizontal="left" vertical="center" indent="1"/>
    </xf>
    <xf numFmtId="9" fontId="1" fillId="14" borderId="0" xfId="2" applyFont="1" applyFill="1" applyBorder="1" applyAlignment="1">
      <alignment horizontal="center" vertical="center"/>
    </xf>
    <xf numFmtId="164" fontId="15" fillId="14" borderId="0" xfId="0" applyNumberFormat="1" applyFont="1" applyFill="1" applyAlignment="1">
      <alignment horizontal="center" vertical="center"/>
    </xf>
    <xf numFmtId="164" fontId="1" fillId="14" borderId="0" xfId="0" applyNumberFormat="1" applyFont="1" applyFill="1" applyAlignment="1">
      <alignment horizontal="center" vertical="center"/>
    </xf>
    <xf numFmtId="0" fontId="15" fillId="14" borderId="9" xfId="12" applyFont="1" applyFill="1" applyBorder="1">
      <alignment horizontal="left" vertical="center" indent="2"/>
    </xf>
    <xf numFmtId="9" fontId="1" fillId="14" borderId="9" xfId="2" applyFont="1" applyFill="1" applyBorder="1" applyAlignment="1">
      <alignment horizontal="center" vertical="center"/>
    </xf>
    <xf numFmtId="164" fontId="15" fillId="14" borderId="9" xfId="10" applyFont="1" applyFill="1" applyBorder="1">
      <alignment horizontal="center" vertical="center"/>
    </xf>
    <xf numFmtId="0" fontId="3" fillId="15" borderId="3" xfId="0" applyFont="1" applyFill="1" applyBorder="1" applyAlignment="1">
      <alignment vertical="center"/>
    </xf>
    <xf numFmtId="0" fontId="3" fillId="15" borderId="12" xfId="0" applyFont="1" applyFill="1" applyBorder="1" applyAlignment="1">
      <alignment vertical="center"/>
    </xf>
    <xf numFmtId="0" fontId="3" fillId="15" borderId="4" xfId="0" applyFont="1" applyFill="1" applyBorder="1" applyAlignment="1">
      <alignment vertical="center"/>
    </xf>
    <xf numFmtId="0" fontId="3" fillId="15" borderId="11" xfId="0" applyFont="1" applyFill="1" applyBorder="1" applyAlignment="1">
      <alignment vertical="center"/>
    </xf>
    <xf numFmtId="0" fontId="3" fillId="15" borderId="10" xfId="0" applyFont="1" applyFill="1" applyBorder="1" applyAlignment="1">
      <alignment vertical="center"/>
    </xf>
    <xf numFmtId="0" fontId="3" fillId="15" borderId="0" xfId="0" applyFont="1" applyFill="1"/>
    <xf numFmtId="0" fontId="3" fillId="15" borderId="0" xfId="0" applyFont="1" applyFill="1" applyAlignment="1">
      <alignment vertical="center"/>
    </xf>
    <xf numFmtId="0" fontId="17" fillId="2" borderId="14" xfId="0" applyFont="1" applyFill="1" applyBorder="1" applyAlignment="1">
      <alignment horizontal="center" vertical="center" shrinkToFit="1"/>
    </xf>
    <xf numFmtId="167" fontId="17" fillId="16" borderId="20" xfId="0" applyNumberFormat="1" applyFont="1" applyFill="1" applyBorder="1" applyAlignment="1">
      <alignment horizontal="center" vertical="center"/>
    </xf>
    <xf numFmtId="0" fontId="16" fillId="11" borderId="16" xfId="0" applyFont="1" applyFill="1" applyBorder="1" applyAlignment="1">
      <alignment horizontal="left" vertical="center" indent="1"/>
    </xf>
    <xf numFmtId="0" fontId="16" fillId="11" borderId="21" xfId="0" applyFont="1" applyFill="1" applyBorder="1" applyAlignment="1">
      <alignment horizontal="left" vertical="center" indent="1"/>
    </xf>
    <xf numFmtId="0" fontId="23" fillId="0" borderId="0" xfId="0" applyFont="1" applyAlignment="1">
      <alignment horizontal="left"/>
    </xf>
    <xf numFmtId="0" fontId="24" fillId="0" borderId="0" xfId="0" applyFont="1"/>
    <xf numFmtId="0" fontId="11" fillId="0" borderId="0" xfId="3" applyAlignment="1">
      <alignment wrapText="1"/>
    </xf>
    <xf numFmtId="165" fontId="23" fillId="0" borderId="0" xfId="9" applyFont="1" applyBorder="1" applyAlignment="1">
      <alignment horizontal="left"/>
    </xf>
    <xf numFmtId="166" fontId="15" fillId="2" borderId="13" xfId="0" applyNumberFormat="1" applyFont="1" applyFill="1" applyBorder="1" applyAlignment="1">
      <alignment horizontal="center" vertical="center" wrapText="1"/>
    </xf>
    <xf numFmtId="166" fontId="15" fillId="2" borderId="19" xfId="0" applyNumberFormat="1" applyFont="1" applyFill="1" applyBorder="1" applyAlignment="1">
      <alignment horizontal="center" vertical="center" wrapText="1"/>
    </xf>
    <xf numFmtId="166" fontId="15" fillId="2" borderId="18" xfId="0" applyNumberFormat="1" applyFont="1" applyFill="1" applyBorder="1" applyAlignment="1">
      <alignment horizontal="center" vertical="center" wrapText="1"/>
    </xf>
    <xf numFmtId="0" fontId="22" fillId="0" borderId="0" xfId="8" applyFont="1" applyAlignment="1">
      <alignment horizontal="center"/>
    </xf>
    <xf numFmtId="0" fontId="16" fillId="11" borderId="16" xfId="0" applyFont="1" applyFill="1" applyBorder="1" applyAlignment="1">
      <alignment horizontal="center" vertical="center"/>
    </xf>
    <xf numFmtId="0" fontId="16" fillId="11" borderId="21" xfId="0" applyFont="1" applyFill="1" applyBorder="1" applyAlignment="1">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33">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32"/>
      <tableStyleElement type="headerRow" dxfId="31"/>
      <tableStyleElement type="totalRow" dxfId="30"/>
      <tableStyleElement type="firstColumn" dxfId="29"/>
      <tableStyleElement type="lastColumn" dxfId="28"/>
      <tableStyleElement type="firstRowStripe" dxfId="27"/>
      <tableStyleElement type="secondRowStripe" dxfId="26"/>
      <tableStyleElement type="firstColumnStripe" dxfId="25"/>
      <tableStyleElement type="secondColumnStripe" dxfId="2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46"/>
  <sheetViews>
    <sheetView showGridLines="0" tabSelected="1" showRuler="0" topLeftCell="A18" zoomScaleNormal="100" zoomScalePageLayoutView="70" workbookViewId="0">
      <selection activeCell="AM23" sqref="AM23"/>
    </sheetView>
  </sheetViews>
  <sheetFormatPr defaultColWidth="8.75" defaultRowHeight="30" customHeight="1" x14ac:dyDescent="0.2"/>
  <cols>
    <col min="1" max="1" width="2.75" style="12" customWidth="1"/>
    <col min="2" max="2" width="22.75" customWidth="1"/>
    <col min="3" max="3" width="10.75" customWidth="1"/>
    <col min="4" max="4" width="10.75" style="2" customWidth="1"/>
    <col min="5" max="5" width="10.75" customWidth="1"/>
    <col min="6" max="6" width="2.75" customWidth="1"/>
    <col min="7" max="7" width="6" hidden="1" customWidth="1"/>
    <col min="8" max="37" width="2.75" customWidth="1"/>
    <col min="38" max="38" width="2.75" style="107" customWidth="1"/>
    <col min="39" max="64" width="2.75" customWidth="1"/>
  </cols>
  <sheetData>
    <row r="1" spans="1:63" ht="90" customHeight="1" x14ac:dyDescent="0.85">
      <c r="A1" s="13"/>
      <c r="B1" s="85" t="s">
        <v>21</v>
      </c>
      <c r="C1" s="16"/>
      <c r="D1" s="17"/>
      <c r="E1" s="18"/>
      <c r="G1" s="1"/>
      <c r="R1" s="120" t="s">
        <v>19</v>
      </c>
      <c r="S1" s="120"/>
      <c r="T1" s="120"/>
      <c r="U1" s="120"/>
      <c r="V1" s="120"/>
      <c r="W1" s="120"/>
      <c r="X1" s="120"/>
      <c r="Y1" s="120"/>
      <c r="AA1" s="116">
        <f>DATE(2025,9,25)</f>
        <v>45925</v>
      </c>
      <c r="AB1" s="116"/>
      <c r="AC1" s="116"/>
      <c r="AD1" s="116"/>
      <c r="AE1" s="116"/>
      <c r="AF1" s="116"/>
      <c r="AG1" s="116"/>
      <c r="AH1" s="116"/>
      <c r="AI1" s="116"/>
      <c r="AJ1" s="116"/>
    </row>
    <row r="2" spans="1:63" ht="30" customHeight="1" x14ac:dyDescent="0.5">
      <c r="B2" s="77" t="s">
        <v>22</v>
      </c>
      <c r="C2" s="19"/>
      <c r="D2" s="20"/>
      <c r="E2" s="19"/>
      <c r="R2" s="120" t="s">
        <v>20</v>
      </c>
      <c r="S2" s="120"/>
      <c r="T2" s="120"/>
      <c r="U2" s="120"/>
      <c r="V2" s="120"/>
      <c r="W2" s="120"/>
      <c r="X2" s="120"/>
      <c r="Y2" s="120"/>
      <c r="AA2" s="113">
        <v>1</v>
      </c>
      <c r="AB2" s="114"/>
      <c r="AC2" s="114"/>
      <c r="AD2" s="114"/>
      <c r="AE2" s="114"/>
      <c r="AF2" s="114"/>
      <c r="AG2" s="114"/>
      <c r="AH2" s="114"/>
      <c r="AI2" s="114"/>
      <c r="AJ2" s="114"/>
    </row>
    <row r="3" spans="1:63" s="22" customFormat="1" ht="30" customHeight="1" x14ac:dyDescent="0.25">
      <c r="A3" s="12"/>
      <c r="B3" s="21"/>
      <c r="C3" s="23"/>
      <c r="D3" s="24"/>
      <c r="AL3" s="107"/>
    </row>
    <row r="4" spans="1:63" s="22" customFormat="1" ht="30" customHeight="1" x14ac:dyDescent="0.2">
      <c r="A4" s="13"/>
      <c r="B4" s="25"/>
      <c r="D4" s="26"/>
      <c r="H4" s="119">
        <f>H5</f>
        <v>45922</v>
      </c>
      <c r="I4" s="117"/>
      <c r="J4" s="117"/>
      <c r="K4" s="117"/>
      <c r="L4" s="117"/>
      <c r="M4" s="117"/>
      <c r="N4" s="117"/>
      <c r="O4" s="117">
        <f>O5</f>
        <v>45929</v>
      </c>
      <c r="P4" s="117"/>
      <c r="Q4" s="117"/>
      <c r="R4" s="117"/>
      <c r="S4" s="117"/>
      <c r="T4" s="117"/>
      <c r="U4" s="117"/>
      <c r="V4" s="117">
        <f>V5</f>
        <v>45936</v>
      </c>
      <c r="W4" s="117"/>
      <c r="X4" s="117"/>
      <c r="Y4" s="117"/>
      <c r="Z4" s="117"/>
      <c r="AA4" s="117"/>
      <c r="AB4" s="117"/>
      <c r="AC4" s="117">
        <f>AC5</f>
        <v>45943</v>
      </c>
      <c r="AD4" s="117"/>
      <c r="AE4" s="117"/>
      <c r="AF4" s="117"/>
      <c r="AG4" s="117"/>
      <c r="AH4" s="117"/>
      <c r="AI4" s="117"/>
      <c r="AJ4" s="117">
        <f>AJ5</f>
        <v>45950</v>
      </c>
      <c r="AK4" s="117"/>
      <c r="AL4" s="117"/>
      <c r="AM4" s="117"/>
      <c r="AN4" s="117"/>
      <c r="AO4" s="117"/>
      <c r="AP4" s="117"/>
      <c r="AQ4" s="117">
        <f>AQ5</f>
        <v>45957</v>
      </c>
      <c r="AR4" s="117"/>
      <c r="AS4" s="117"/>
      <c r="AT4" s="117"/>
      <c r="AU4" s="117"/>
      <c r="AV4" s="117"/>
      <c r="AW4" s="117"/>
      <c r="AX4" s="117">
        <f>AX5</f>
        <v>45964</v>
      </c>
      <c r="AY4" s="117"/>
      <c r="AZ4" s="117"/>
      <c r="BA4" s="117"/>
      <c r="BB4" s="117"/>
      <c r="BC4" s="117"/>
      <c r="BD4" s="117"/>
      <c r="BE4" s="117">
        <f>BE5</f>
        <v>45971</v>
      </c>
      <c r="BF4" s="117"/>
      <c r="BG4" s="117"/>
      <c r="BH4" s="117"/>
      <c r="BI4" s="117"/>
      <c r="BJ4" s="117"/>
      <c r="BK4" s="118"/>
    </row>
    <row r="5" spans="1:63" s="22" customFormat="1" ht="15" customHeight="1" x14ac:dyDescent="0.2">
      <c r="A5" s="115"/>
      <c r="B5" s="111" t="s">
        <v>4</v>
      </c>
      <c r="C5" s="121" t="s">
        <v>0</v>
      </c>
      <c r="D5" s="121" t="s">
        <v>2</v>
      </c>
      <c r="E5" s="121" t="s">
        <v>3</v>
      </c>
      <c r="H5" s="27">
        <f>Project_Start-WEEKDAY(Project_Start,1)+2+7*(Display_Week-1)</f>
        <v>45922</v>
      </c>
      <c r="I5" s="27">
        <f>H5+1</f>
        <v>45923</v>
      </c>
      <c r="J5" s="27">
        <f t="shared" ref="J5:AW5" si="0">I5+1</f>
        <v>45924</v>
      </c>
      <c r="K5" s="27">
        <f t="shared" si="0"/>
        <v>45925</v>
      </c>
      <c r="L5" s="27">
        <f t="shared" si="0"/>
        <v>45926</v>
      </c>
      <c r="M5" s="27">
        <f t="shared" si="0"/>
        <v>45927</v>
      </c>
      <c r="N5" s="28">
        <f t="shared" si="0"/>
        <v>45928</v>
      </c>
      <c r="O5" s="29">
        <f>N5+1</f>
        <v>45929</v>
      </c>
      <c r="P5" s="27">
        <f>O5+1</f>
        <v>45930</v>
      </c>
      <c r="Q5" s="27">
        <f t="shared" si="0"/>
        <v>45931</v>
      </c>
      <c r="R5" s="27">
        <f t="shared" si="0"/>
        <v>45932</v>
      </c>
      <c r="S5" s="27">
        <f t="shared" si="0"/>
        <v>45933</v>
      </c>
      <c r="T5" s="27">
        <f t="shared" si="0"/>
        <v>45934</v>
      </c>
      <c r="U5" s="28">
        <f t="shared" si="0"/>
        <v>45935</v>
      </c>
      <c r="V5" s="29">
        <f>U5+1</f>
        <v>45936</v>
      </c>
      <c r="W5" s="27">
        <f>V5+1</f>
        <v>45937</v>
      </c>
      <c r="X5" s="27">
        <f t="shared" si="0"/>
        <v>45938</v>
      </c>
      <c r="Y5" s="27">
        <f t="shared" si="0"/>
        <v>45939</v>
      </c>
      <c r="Z5" s="27">
        <f t="shared" si="0"/>
        <v>45940</v>
      </c>
      <c r="AA5" s="27">
        <f t="shared" si="0"/>
        <v>45941</v>
      </c>
      <c r="AB5" s="28">
        <f t="shared" si="0"/>
        <v>45942</v>
      </c>
      <c r="AC5" s="29">
        <f>AB5+1</f>
        <v>45943</v>
      </c>
      <c r="AD5" s="27">
        <f>AC5+1</f>
        <v>45944</v>
      </c>
      <c r="AE5" s="27">
        <f t="shared" si="0"/>
        <v>45945</v>
      </c>
      <c r="AF5" s="27">
        <f t="shared" si="0"/>
        <v>45946</v>
      </c>
      <c r="AG5" s="27">
        <f t="shared" si="0"/>
        <v>45947</v>
      </c>
      <c r="AH5" s="27">
        <f t="shared" si="0"/>
        <v>45948</v>
      </c>
      <c r="AI5" s="28">
        <f t="shared" si="0"/>
        <v>45949</v>
      </c>
      <c r="AJ5" s="29">
        <f>AI5+1</f>
        <v>45950</v>
      </c>
      <c r="AK5" s="27">
        <f>AJ5+1</f>
        <v>45951</v>
      </c>
      <c r="AL5" s="110">
        <f t="shared" si="0"/>
        <v>45952</v>
      </c>
      <c r="AM5" s="27">
        <f t="shared" si="0"/>
        <v>45953</v>
      </c>
      <c r="AN5" s="27">
        <f t="shared" si="0"/>
        <v>45954</v>
      </c>
      <c r="AO5" s="27">
        <f t="shared" si="0"/>
        <v>45955</v>
      </c>
      <c r="AP5" s="28">
        <f t="shared" si="0"/>
        <v>45956</v>
      </c>
      <c r="AQ5" s="29">
        <f>AP5+1</f>
        <v>45957</v>
      </c>
      <c r="AR5" s="27">
        <f>AQ5+1</f>
        <v>45958</v>
      </c>
      <c r="AS5" s="27">
        <f t="shared" si="0"/>
        <v>45959</v>
      </c>
      <c r="AT5" s="27">
        <f t="shared" si="0"/>
        <v>45960</v>
      </c>
      <c r="AU5" s="27">
        <f t="shared" si="0"/>
        <v>45961</v>
      </c>
      <c r="AV5" s="27">
        <f t="shared" si="0"/>
        <v>45962</v>
      </c>
      <c r="AW5" s="28">
        <f t="shared" si="0"/>
        <v>45963</v>
      </c>
      <c r="AX5" s="29">
        <f>AW5+1</f>
        <v>45964</v>
      </c>
      <c r="AY5" s="27">
        <f>AX5+1</f>
        <v>45965</v>
      </c>
      <c r="AZ5" s="27">
        <f t="shared" ref="AZ5:BD5" si="1">AY5+1</f>
        <v>45966</v>
      </c>
      <c r="BA5" s="27">
        <f t="shared" si="1"/>
        <v>45967</v>
      </c>
      <c r="BB5" s="27">
        <f t="shared" si="1"/>
        <v>45968</v>
      </c>
      <c r="BC5" s="27">
        <f t="shared" si="1"/>
        <v>45969</v>
      </c>
      <c r="BD5" s="28">
        <f t="shared" si="1"/>
        <v>45970</v>
      </c>
      <c r="BE5" s="29">
        <f>BD5+1</f>
        <v>45971</v>
      </c>
      <c r="BF5" s="27">
        <f>BE5+1</f>
        <v>45972</v>
      </c>
      <c r="BG5" s="27">
        <f t="shared" ref="BG5:BK5" si="2">BF5+1</f>
        <v>45973</v>
      </c>
      <c r="BH5" s="27">
        <f t="shared" si="2"/>
        <v>45974</v>
      </c>
      <c r="BI5" s="27">
        <f t="shared" si="2"/>
        <v>45975</v>
      </c>
      <c r="BJ5" s="27">
        <f t="shared" si="2"/>
        <v>45976</v>
      </c>
      <c r="BK5" s="27">
        <f t="shared" si="2"/>
        <v>45977</v>
      </c>
    </row>
    <row r="6" spans="1:63" s="22" customFormat="1" ht="15" customHeight="1" thickBot="1" x14ac:dyDescent="0.25">
      <c r="A6" s="115"/>
      <c r="B6" s="112"/>
      <c r="C6" s="122"/>
      <c r="D6" s="122"/>
      <c r="E6" s="122"/>
      <c r="H6" s="30" t="str">
        <f t="shared" ref="H6:AM6" si="3">LEFT(TEXT(H5,"ddd"),1)</f>
        <v>M</v>
      </c>
      <c r="I6" s="31" t="str">
        <f t="shared" si="3"/>
        <v>T</v>
      </c>
      <c r="J6" s="31" t="str">
        <f t="shared" si="3"/>
        <v>W</v>
      </c>
      <c r="K6" s="31" t="str">
        <f t="shared" si="3"/>
        <v>T</v>
      </c>
      <c r="L6" s="31" t="str">
        <f t="shared" si="3"/>
        <v>F</v>
      </c>
      <c r="M6" s="31" t="str">
        <f t="shared" si="3"/>
        <v>S</v>
      </c>
      <c r="N6" s="31" t="str">
        <f t="shared" si="3"/>
        <v>S</v>
      </c>
      <c r="O6" s="31" t="str">
        <f t="shared" si="3"/>
        <v>M</v>
      </c>
      <c r="P6" s="31" t="str">
        <f t="shared" si="3"/>
        <v>T</v>
      </c>
      <c r="Q6" s="31" t="str">
        <f t="shared" si="3"/>
        <v>W</v>
      </c>
      <c r="R6" s="31" t="str">
        <f t="shared" si="3"/>
        <v>T</v>
      </c>
      <c r="S6" s="31" t="str">
        <f t="shared" si="3"/>
        <v>F</v>
      </c>
      <c r="T6" s="31" t="str">
        <f t="shared" si="3"/>
        <v>S</v>
      </c>
      <c r="U6" s="31" t="str">
        <f t="shared" si="3"/>
        <v>S</v>
      </c>
      <c r="V6" s="31" t="str">
        <f t="shared" si="3"/>
        <v>M</v>
      </c>
      <c r="W6" s="31" t="str">
        <f t="shared" si="3"/>
        <v>T</v>
      </c>
      <c r="X6" s="31" t="str">
        <f t="shared" si="3"/>
        <v>W</v>
      </c>
      <c r="Y6" s="31" t="str">
        <f t="shared" si="3"/>
        <v>T</v>
      </c>
      <c r="Z6" s="31" t="str">
        <f t="shared" si="3"/>
        <v>F</v>
      </c>
      <c r="AA6" s="31" t="str">
        <f t="shared" si="3"/>
        <v>S</v>
      </c>
      <c r="AB6" s="31" t="str">
        <f t="shared" si="3"/>
        <v>S</v>
      </c>
      <c r="AC6" s="31" t="str">
        <f t="shared" si="3"/>
        <v>M</v>
      </c>
      <c r="AD6" s="31" t="str">
        <f t="shared" si="3"/>
        <v>T</v>
      </c>
      <c r="AE6" s="31" t="str">
        <f t="shared" si="3"/>
        <v>W</v>
      </c>
      <c r="AF6" s="31" t="str">
        <f t="shared" si="3"/>
        <v>T</v>
      </c>
      <c r="AG6" s="31" t="str">
        <f t="shared" si="3"/>
        <v>F</v>
      </c>
      <c r="AH6" s="31" t="str">
        <f t="shared" si="3"/>
        <v>S</v>
      </c>
      <c r="AI6" s="31" t="str">
        <f t="shared" si="3"/>
        <v>S</v>
      </c>
      <c r="AJ6" s="31" t="str">
        <f t="shared" si="3"/>
        <v>M</v>
      </c>
      <c r="AK6" s="31" t="str">
        <f t="shared" si="3"/>
        <v>T</v>
      </c>
      <c r="AL6" s="109" t="str">
        <f t="shared" si="3"/>
        <v>W</v>
      </c>
      <c r="AM6" s="31" t="str">
        <f t="shared" si="3"/>
        <v>T</v>
      </c>
      <c r="AN6" s="31" t="str">
        <f t="shared" ref="AN6:BK6" si="4">LEFT(TEXT(AN5,"ddd"),1)</f>
        <v>F</v>
      </c>
      <c r="AO6" s="31" t="str">
        <f t="shared" si="4"/>
        <v>S</v>
      </c>
      <c r="AP6" s="31" t="str">
        <f t="shared" si="4"/>
        <v>S</v>
      </c>
      <c r="AQ6" s="31" t="str">
        <f t="shared" si="4"/>
        <v>M</v>
      </c>
      <c r="AR6" s="31" t="str">
        <f t="shared" si="4"/>
        <v>T</v>
      </c>
      <c r="AS6" s="31" t="str">
        <f t="shared" si="4"/>
        <v>W</v>
      </c>
      <c r="AT6" s="31" t="str">
        <f t="shared" si="4"/>
        <v>T</v>
      </c>
      <c r="AU6" s="31" t="str">
        <f t="shared" si="4"/>
        <v>F</v>
      </c>
      <c r="AV6" s="31" t="str">
        <f t="shared" si="4"/>
        <v>S</v>
      </c>
      <c r="AW6" s="31" t="str">
        <f t="shared" si="4"/>
        <v>S</v>
      </c>
      <c r="AX6" s="31" t="str">
        <f t="shared" si="4"/>
        <v>M</v>
      </c>
      <c r="AY6" s="31" t="str">
        <f t="shared" si="4"/>
        <v>T</v>
      </c>
      <c r="AZ6" s="31" t="str">
        <f t="shared" si="4"/>
        <v>W</v>
      </c>
      <c r="BA6" s="31" t="str">
        <f t="shared" si="4"/>
        <v>T</v>
      </c>
      <c r="BB6" s="31" t="str">
        <f t="shared" si="4"/>
        <v>F</v>
      </c>
      <c r="BC6" s="31" t="str">
        <f t="shared" si="4"/>
        <v>S</v>
      </c>
      <c r="BD6" s="31" t="str">
        <f t="shared" si="4"/>
        <v>S</v>
      </c>
      <c r="BE6" s="31" t="str">
        <f t="shared" si="4"/>
        <v>M</v>
      </c>
      <c r="BF6" s="31" t="str">
        <f t="shared" si="4"/>
        <v>T</v>
      </c>
      <c r="BG6" s="31" t="str">
        <f t="shared" si="4"/>
        <v>W</v>
      </c>
      <c r="BH6" s="31" t="str">
        <f t="shared" si="4"/>
        <v>T</v>
      </c>
      <c r="BI6" s="31" t="str">
        <f t="shared" si="4"/>
        <v>F</v>
      </c>
      <c r="BJ6" s="31" t="str">
        <f t="shared" si="4"/>
        <v>S</v>
      </c>
      <c r="BK6" s="32" t="str">
        <f t="shared" si="4"/>
        <v>S</v>
      </c>
    </row>
    <row r="7" spans="1:63" s="22" customFormat="1" ht="30" hidden="1" customHeight="1" thickBot="1" x14ac:dyDescent="0.25">
      <c r="A7" s="12" t="s">
        <v>18</v>
      </c>
      <c r="B7" s="33"/>
      <c r="C7" s="33"/>
      <c r="D7" s="33"/>
      <c r="E7" s="33"/>
      <c r="G7" s="22" t="str">
        <f>IF(OR(ISBLANK(task_start),ISBLANK(task_end)),"",task_end-task_start+1)</f>
        <v/>
      </c>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102"/>
      <c r="AM7" s="34"/>
      <c r="AN7" s="34"/>
      <c r="AO7" s="34"/>
      <c r="AP7" s="34"/>
      <c r="AQ7" s="34"/>
      <c r="AR7" s="34"/>
      <c r="AS7" s="34"/>
      <c r="AT7" s="34"/>
      <c r="AU7" s="34"/>
      <c r="AV7" s="34"/>
      <c r="AW7" s="34"/>
      <c r="AX7" s="34"/>
      <c r="AY7" s="34"/>
      <c r="AZ7" s="34"/>
      <c r="BA7" s="34"/>
      <c r="BB7" s="34"/>
      <c r="BC7" s="34"/>
      <c r="BD7" s="34"/>
      <c r="BE7" s="34"/>
      <c r="BF7" s="34"/>
      <c r="BG7" s="34"/>
      <c r="BH7" s="34"/>
      <c r="BI7" s="34"/>
      <c r="BJ7" s="34"/>
      <c r="BK7" s="34"/>
    </row>
    <row r="8" spans="1:63" s="40" customFormat="1" ht="30" customHeight="1" thickBot="1" x14ac:dyDescent="0.25">
      <c r="A8" s="13"/>
      <c r="B8" s="35" t="s">
        <v>23</v>
      </c>
      <c r="C8" s="36"/>
      <c r="D8" s="37"/>
      <c r="E8" s="38"/>
      <c r="F8" s="15"/>
      <c r="G8" s="4" t="str">
        <f t="shared" ref="G8:G44" si="5">IF(OR(ISBLANK(task_start),ISBLANK(task_end)),"",task_end-task_start+1)</f>
        <v/>
      </c>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103"/>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s="40" customFormat="1" ht="30" customHeight="1" thickBot="1" x14ac:dyDescent="0.25">
      <c r="A9" s="13"/>
      <c r="B9" s="41" t="s">
        <v>24</v>
      </c>
      <c r="C9" s="42">
        <v>1</v>
      </c>
      <c r="D9" s="43">
        <f>Project_Start</f>
        <v>45925</v>
      </c>
      <c r="E9" s="43">
        <f>D9+6</f>
        <v>45931</v>
      </c>
      <c r="F9" s="15"/>
      <c r="G9" s="4">
        <f t="shared" si="5"/>
        <v>7</v>
      </c>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104"/>
      <c r="AM9" s="44"/>
      <c r="AN9" s="44"/>
      <c r="AO9" s="44"/>
      <c r="AP9" s="44"/>
      <c r="AQ9" s="44"/>
      <c r="AR9" s="44"/>
      <c r="AS9" s="44"/>
      <c r="AT9" s="44"/>
      <c r="AU9" s="44"/>
      <c r="AV9" s="44"/>
      <c r="AW9" s="44"/>
      <c r="AX9" s="44"/>
      <c r="AY9" s="44"/>
      <c r="AZ9" s="44"/>
      <c r="BA9" s="44"/>
      <c r="BB9" s="44"/>
      <c r="BC9" s="44"/>
      <c r="BD9" s="44"/>
      <c r="BE9" s="44"/>
      <c r="BF9" s="44"/>
      <c r="BG9" s="44"/>
      <c r="BH9" s="44"/>
      <c r="BI9" s="44"/>
      <c r="BJ9" s="44"/>
      <c r="BK9" s="44"/>
    </row>
    <row r="10" spans="1:63" s="40" customFormat="1" ht="30" customHeight="1" thickBot="1" x14ac:dyDescent="0.25">
      <c r="A10" s="13"/>
      <c r="B10" s="45" t="s">
        <v>25</v>
      </c>
      <c r="C10" s="46">
        <v>1</v>
      </c>
      <c r="D10" s="47">
        <f>E9</f>
        <v>45931</v>
      </c>
      <c r="E10" s="47">
        <f>D10+2</f>
        <v>45933</v>
      </c>
      <c r="F10" s="15"/>
      <c r="G10" s="4">
        <f t="shared" si="5"/>
        <v>3</v>
      </c>
      <c r="H10" s="44"/>
      <c r="I10" s="44"/>
      <c r="J10" s="44"/>
      <c r="K10" s="44"/>
      <c r="L10" s="44"/>
      <c r="M10" s="44"/>
      <c r="N10" s="44"/>
      <c r="O10" s="44"/>
      <c r="P10" s="44"/>
      <c r="Q10" s="44"/>
      <c r="R10" s="44"/>
      <c r="S10" s="44"/>
      <c r="T10" s="48"/>
      <c r="U10" s="48"/>
      <c r="V10" s="44"/>
      <c r="W10" s="44"/>
      <c r="X10" s="44"/>
      <c r="Y10" s="44"/>
      <c r="Z10" s="44"/>
      <c r="AA10" s="44"/>
      <c r="AB10" s="44"/>
      <c r="AC10" s="44"/>
      <c r="AD10" s="44"/>
      <c r="AE10" s="44"/>
      <c r="AF10" s="44"/>
      <c r="AG10" s="44"/>
      <c r="AH10" s="44"/>
      <c r="AI10" s="44"/>
      <c r="AJ10" s="44"/>
      <c r="AK10" s="44"/>
      <c r="AL10" s="10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row>
    <row r="11" spans="1:63" s="40" customFormat="1" ht="30" customHeight="1" thickBot="1" x14ac:dyDescent="0.25">
      <c r="A11" s="12"/>
      <c r="B11" s="45" t="s">
        <v>26</v>
      </c>
      <c r="C11" s="46">
        <v>1</v>
      </c>
      <c r="D11" s="47">
        <f>E10</f>
        <v>45933</v>
      </c>
      <c r="E11" s="47">
        <f>D11+1</f>
        <v>45934</v>
      </c>
      <c r="F11" s="15"/>
      <c r="G11" s="4">
        <f t="shared" si="5"/>
        <v>2</v>
      </c>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10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row>
    <row r="12" spans="1:63" s="40" customFormat="1" ht="30" customHeight="1" thickBot="1" x14ac:dyDescent="0.25">
      <c r="A12" s="12"/>
      <c r="B12" s="45" t="s">
        <v>27</v>
      </c>
      <c r="C12" s="46">
        <v>1</v>
      </c>
      <c r="D12" s="47">
        <f>E11</f>
        <v>45934</v>
      </c>
      <c r="E12" s="47">
        <f>D12+3</f>
        <v>45937</v>
      </c>
      <c r="F12" s="15"/>
      <c r="G12" s="4">
        <f t="shared" si="5"/>
        <v>4</v>
      </c>
      <c r="H12" s="44"/>
      <c r="I12" s="44"/>
      <c r="J12" s="44"/>
      <c r="K12" s="44"/>
      <c r="L12" s="44"/>
      <c r="M12" s="44"/>
      <c r="N12" s="44"/>
      <c r="O12" s="44"/>
      <c r="P12" s="44"/>
      <c r="Q12" s="44"/>
      <c r="R12" s="44"/>
      <c r="S12" s="44"/>
      <c r="T12" s="44"/>
      <c r="U12" s="44"/>
      <c r="V12" s="44"/>
      <c r="W12" s="44"/>
      <c r="X12" s="48"/>
      <c r="Y12" s="44"/>
      <c r="Z12" s="44"/>
      <c r="AA12" s="44"/>
      <c r="AB12" s="44"/>
      <c r="AC12" s="44"/>
      <c r="AD12" s="44"/>
      <c r="AE12" s="44"/>
      <c r="AF12" s="44"/>
      <c r="AG12" s="44"/>
      <c r="AH12" s="44"/>
      <c r="AI12" s="44"/>
      <c r="AJ12" s="44"/>
      <c r="AK12" s="44"/>
      <c r="AL12" s="10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row>
    <row r="13" spans="1:63" s="40" customFormat="1" ht="30" customHeight="1" thickBot="1" x14ac:dyDescent="0.25">
      <c r="A13" s="12"/>
      <c r="B13" s="45" t="s">
        <v>28</v>
      </c>
      <c r="C13" s="46">
        <v>1</v>
      </c>
      <c r="D13" s="47">
        <f>D10+7</f>
        <v>45938</v>
      </c>
      <c r="E13" s="47">
        <f>D13+2</f>
        <v>45940</v>
      </c>
      <c r="F13" s="15"/>
      <c r="G13" s="4">
        <f t="shared" si="5"/>
        <v>3</v>
      </c>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10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row>
    <row r="14" spans="1:63" s="40" customFormat="1" ht="30" customHeight="1" thickBot="1" x14ac:dyDescent="0.25">
      <c r="A14" s="13"/>
      <c r="B14" s="49" t="s">
        <v>29</v>
      </c>
      <c r="C14" s="50"/>
      <c r="D14" s="51"/>
      <c r="E14" s="52"/>
      <c r="F14" s="15"/>
      <c r="G14" s="4" t="str">
        <f t="shared" si="5"/>
        <v/>
      </c>
      <c r="AL14" s="108"/>
    </row>
    <row r="15" spans="1:63" s="40" customFormat="1" ht="30" customHeight="1" thickBot="1" x14ac:dyDescent="0.25">
      <c r="A15" s="13"/>
      <c r="B15" s="53" t="s">
        <v>30</v>
      </c>
      <c r="C15" s="54">
        <v>1</v>
      </c>
      <c r="D15" s="55">
        <f>D13+4</f>
        <v>45942</v>
      </c>
      <c r="E15" s="55">
        <f>D15+4</f>
        <v>45946</v>
      </c>
      <c r="F15" s="15"/>
      <c r="G15" s="4">
        <f t="shared" si="5"/>
        <v>5</v>
      </c>
      <c r="H15" s="44"/>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10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row>
    <row r="16" spans="1:63" s="40" customFormat="1" ht="30" customHeight="1" thickBot="1" x14ac:dyDescent="0.25">
      <c r="A16" s="12"/>
      <c r="B16" s="53" t="s">
        <v>31</v>
      </c>
      <c r="C16" s="54">
        <v>1</v>
      </c>
      <c r="D16" s="55">
        <f>D15+4</f>
        <v>45946</v>
      </c>
      <c r="E16" s="55">
        <f>D16+1</f>
        <v>45947</v>
      </c>
      <c r="F16" s="15"/>
      <c r="G16" s="4">
        <f t="shared" si="5"/>
        <v>2</v>
      </c>
      <c r="H16" s="44"/>
      <c r="I16" s="44"/>
      <c r="J16" s="44"/>
      <c r="K16" s="44"/>
      <c r="L16" s="44"/>
      <c r="M16" s="44"/>
      <c r="N16" s="44"/>
      <c r="O16" s="44"/>
      <c r="P16" s="44"/>
      <c r="Q16" s="44"/>
      <c r="R16" s="44"/>
      <c r="S16" s="44"/>
      <c r="T16" s="48"/>
      <c r="U16" s="48"/>
      <c r="V16" s="44"/>
      <c r="W16" s="44"/>
      <c r="X16" s="44"/>
      <c r="Y16" s="44"/>
      <c r="Z16" s="44"/>
      <c r="AA16" s="44"/>
      <c r="AB16" s="44"/>
      <c r="AC16" s="44"/>
      <c r="AD16" s="44"/>
      <c r="AE16" s="44"/>
      <c r="AF16" s="44"/>
      <c r="AG16" s="44"/>
      <c r="AH16" s="44"/>
      <c r="AI16" s="44"/>
      <c r="AJ16" s="44"/>
      <c r="AK16" s="44"/>
      <c r="AL16" s="10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row>
    <row r="17" spans="1:63" s="40" customFormat="1" ht="30" customHeight="1" thickBot="1" x14ac:dyDescent="0.25">
      <c r="A17" s="12"/>
      <c r="B17" s="53" t="s">
        <v>32</v>
      </c>
      <c r="C17" s="54">
        <v>1</v>
      </c>
      <c r="D17" s="55">
        <f>E16+1</f>
        <v>45948</v>
      </c>
      <c r="E17" s="55">
        <f>D17+1</f>
        <v>45949</v>
      </c>
      <c r="F17" s="15"/>
      <c r="G17" s="4">
        <f t="shared" si="5"/>
        <v>2</v>
      </c>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10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row>
    <row r="18" spans="1:63" s="40" customFormat="1" ht="30" customHeight="1" thickBot="1" x14ac:dyDescent="0.25">
      <c r="A18" s="12"/>
      <c r="B18" s="53" t="s">
        <v>33</v>
      </c>
      <c r="C18" s="54">
        <v>1</v>
      </c>
      <c r="D18" s="55">
        <f>D17+1</f>
        <v>45949</v>
      </c>
      <c r="E18" s="55">
        <f>D18+2</f>
        <v>45951</v>
      </c>
      <c r="F18" s="15"/>
      <c r="G18" s="4">
        <f t="shared" si="5"/>
        <v>3</v>
      </c>
      <c r="H18" s="44"/>
      <c r="I18" s="44"/>
      <c r="J18" s="44"/>
      <c r="K18" s="44"/>
      <c r="L18" s="44"/>
      <c r="M18" s="44"/>
      <c r="N18" s="44"/>
      <c r="O18" s="44"/>
      <c r="P18" s="44"/>
      <c r="Q18" s="44"/>
      <c r="R18" s="44"/>
      <c r="S18" s="44"/>
      <c r="T18" s="44"/>
      <c r="U18" s="44"/>
      <c r="V18" s="44"/>
      <c r="W18" s="44"/>
      <c r="X18" s="48"/>
      <c r="Y18" s="44"/>
      <c r="Z18" s="44"/>
      <c r="AA18" s="44"/>
      <c r="AB18" s="44"/>
      <c r="AC18" s="44"/>
      <c r="AD18" s="44"/>
      <c r="AE18" s="44"/>
      <c r="AF18" s="44"/>
      <c r="AG18" s="44"/>
      <c r="AH18" s="44"/>
      <c r="AI18" s="44"/>
      <c r="AJ18" s="44"/>
      <c r="AK18" s="44"/>
      <c r="AL18" s="10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row>
    <row r="19" spans="1:63" s="40" customFormat="1" ht="30" customHeight="1" thickBot="1" x14ac:dyDescent="0.25">
      <c r="A19" s="12"/>
      <c r="B19" s="53" t="s">
        <v>34</v>
      </c>
      <c r="C19" s="54">
        <v>1</v>
      </c>
      <c r="D19" s="55">
        <f>D18+2</f>
        <v>45951</v>
      </c>
      <c r="E19" s="55">
        <f>D19+2</f>
        <v>45953</v>
      </c>
      <c r="F19" s="15"/>
      <c r="G19" s="4">
        <f t="shared" si="5"/>
        <v>3</v>
      </c>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10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row>
    <row r="20" spans="1:63" s="40" customFormat="1" ht="30" customHeight="1" thickBot="1" x14ac:dyDescent="0.25">
      <c r="A20" s="12"/>
      <c r="B20" s="56" t="s">
        <v>35</v>
      </c>
      <c r="C20" s="57"/>
      <c r="D20" s="58"/>
      <c r="E20" s="59"/>
      <c r="F20" s="15"/>
      <c r="G20" s="4" t="str">
        <f t="shared" si="5"/>
        <v/>
      </c>
      <c r="H20" s="60"/>
      <c r="I20" s="60"/>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105"/>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c r="BK20" s="60"/>
    </row>
    <row r="21" spans="1:63" s="40" customFormat="1" ht="30" customHeight="1" thickBot="1" x14ac:dyDescent="0.25">
      <c r="A21" s="12"/>
      <c r="B21" s="61" t="s">
        <v>36</v>
      </c>
      <c r="C21" s="62">
        <v>0</v>
      </c>
      <c r="D21" s="63">
        <f>E19+2</f>
        <v>45955</v>
      </c>
      <c r="E21" s="63">
        <f>D21+16</f>
        <v>45971</v>
      </c>
      <c r="F21" s="15"/>
      <c r="G21" s="4">
        <f t="shared" si="5"/>
        <v>17</v>
      </c>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10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row>
    <row r="22" spans="1:63" s="40" customFormat="1" ht="30" customHeight="1" thickBot="1" x14ac:dyDescent="0.25">
      <c r="A22" s="12"/>
      <c r="B22" s="86" t="s">
        <v>38</v>
      </c>
      <c r="C22" s="62">
        <v>0</v>
      </c>
      <c r="D22" s="63">
        <f>E21+2</f>
        <v>45973</v>
      </c>
      <c r="E22" s="63">
        <f>D22+13</f>
        <v>45986</v>
      </c>
      <c r="F22" s="15"/>
      <c r="G22" s="4">
        <f t="shared" si="5"/>
        <v>14</v>
      </c>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10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row>
    <row r="23" spans="1:63" s="40" customFormat="1" ht="30" customHeight="1" thickBot="1" x14ac:dyDescent="0.25">
      <c r="A23" s="12"/>
      <c r="B23" s="61" t="s">
        <v>37</v>
      </c>
      <c r="C23" s="62">
        <v>0</v>
      </c>
      <c r="D23" s="63">
        <f>D22+14</f>
        <v>45987</v>
      </c>
      <c r="E23" s="63">
        <f>D23+15</f>
        <v>46002</v>
      </c>
      <c r="F23" s="15"/>
      <c r="G23" s="4">
        <f t="shared" si="5"/>
        <v>16</v>
      </c>
      <c r="H23" s="44"/>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10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row>
    <row r="24" spans="1:63" s="40" customFormat="1" ht="30" customHeight="1" thickBot="1" x14ac:dyDescent="0.25">
      <c r="A24" s="12"/>
      <c r="B24" s="61" t="s">
        <v>39</v>
      </c>
      <c r="C24" s="62">
        <v>0</v>
      </c>
      <c r="D24" s="63">
        <f>E23+1</f>
        <v>46003</v>
      </c>
      <c r="E24" s="63">
        <f>D24+10</f>
        <v>46013</v>
      </c>
      <c r="F24" s="15"/>
      <c r="G24" s="4">
        <f t="shared" si="5"/>
        <v>11</v>
      </c>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10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row>
    <row r="25" spans="1:63" s="40" customFormat="1" ht="30" customHeight="1" thickBot="1" x14ac:dyDescent="0.25">
      <c r="A25" s="12"/>
      <c r="B25" s="61" t="s">
        <v>40</v>
      </c>
      <c r="C25" s="62">
        <v>0</v>
      </c>
      <c r="D25" s="63">
        <f>E24+13</f>
        <v>46026</v>
      </c>
      <c r="E25" s="63">
        <f>D25+16</f>
        <v>46042</v>
      </c>
      <c r="F25" s="15"/>
      <c r="G25" s="4">
        <f t="shared" si="5"/>
        <v>17</v>
      </c>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10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row>
    <row r="26" spans="1:63" s="40" customFormat="1" ht="30" customHeight="1" thickBot="1" x14ac:dyDescent="0.25">
      <c r="A26" s="12"/>
      <c r="B26" s="64" t="s">
        <v>41</v>
      </c>
      <c r="C26" s="65"/>
      <c r="D26" s="66"/>
      <c r="E26" s="67"/>
      <c r="F26" s="15"/>
      <c r="G26" s="4" t="str">
        <f t="shared" si="5"/>
        <v/>
      </c>
      <c r="H26" s="68"/>
      <c r="I26" s="68"/>
      <c r="J26" s="68"/>
      <c r="K26" s="68"/>
      <c r="L26" s="68"/>
      <c r="M26" s="68"/>
      <c r="N26" s="68"/>
      <c r="O26" s="68"/>
      <c r="P26" s="68"/>
      <c r="Q26" s="68"/>
      <c r="R26" s="68"/>
      <c r="S26" s="68"/>
      <c r="T26" s="68"/>
      <c r="U26" s="68"/>
      <c r="V26" s="68"/>
      <c r="W26" s="68"/>
      <c r="X26" s="68"/>
      <c r="Y26" s="68"/>
      <c r="Z26" s="68"/>
      <c r="AA26" s="68"/>
      <c r="AB26" s="68"/>
      <c r="AC26" s="68"/>
      <c r="AD26" s="68"/>
      <c r="AE26" s="68"/>
      <c r="AF26" s="68"/>
      <c r="AG26" s="68"/>
      <c r="AH26" s="68"/>
      <c r="AI26" s="68"/>
      <c r="AJ26" s="68"/>
      <c r="AK26" s="68"/>
      <c r="AL26" s="106"/>
      <c r="AM26" s="68"/>
      <c r="AN26" s="68"/>
      <c r="AO26" s="68"/>
      <c r="AP26" s="68"/>
      <c r="AQ26" s="68"/>
      <c r="AR26" s="68"/>
      <c r="AS26" s="68"/>
      <c r="AT26" s="68"/>
      <c r="AU26" s="68"/>
      <c r="AV26" s="68"/>
      <c r="AW26" s="68"/>
      <c r="AX26" s="68"/>
      <c r="AY26" s="68"/>
      <c r="AZ26" s="68"/>
      <c r="BA26" s="68"/>
      <c r="BB26" s="68"/>
      <c r="BC26" s="68"/>
      <c r="BD26" s="68"/>
      <c r="BE26" s="68"/>
      <c r="BF26" s="68"/>
      <c r="BG26" s="68"/>
      <c r="BH26" s="68"/>
      <c r="BI26" s="68"/>
      <c r="BJ26" s="68"/>
      <c r="BK26" s="68"/>
    </row>
    <row r="27" spans="1:63" s="40" customFormat="1" ht="30" customHeight="1" thickBot="1" x14ac:dyDescent="0.25">
      <c r="A27" s="12"/>
      <c r="B27" s="69" t="s">
        <v>42</v>
      </c>
      <c r="C27" s="70">
        <v>0</v>
      </c>
      <c r="D27" s="71">
        <f>D25+18</f>
        <v>46044</v>
      </c>
      <c r="E27" s="71">
        <f>D27+19</f>
        <v>46063</v>
      </c>
      <c r="F27" s="15"/>
      <c r="G27" s="4">
        <f t="shared" si="5"/>
        <v>20</v>
      </c>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10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row>
    <row r="28" spans="1:63" s="40" customFormat="1" ht="30" customHeight="1" thickBot="1" x14ac:dyDescent="0.25">
      <c r="A28" s="12"/>
      <c r="B28" s="69" t="s">
        <v>43</v>
      </c>
      <c r="C28" s="70">
        <v>0</v>
      </c>
      <c r="D28" s="71">
        <f>E27+1</f>
        <v>46064</v>
      </c>
      <c r="E28" s="71">
        <f>D28+14</f>
        <v>46078</v>
      </c>
      <c r="F28" s="15"/>
      <c r="G28" s="4">
        <f t="shared" si="5"/>
        <v>15</v>
      </c>
      <c r="H28" s="44"/>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10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row>
    <row r="29" spans="1:63" s="40" customFormat="1" ht="30" customHeight="1" thickBot="1" x14ac:dyDescent="0.25">
      <c r="A29" s="12"/>
      <c r="B29" s="69" t="s">
        <v>44</v>
      </c>
      <c r="C29" s="70">
        <v>0</v>
      </c>
      <c r="D29" s="71">
        <f>E28+1</f>
        <v>46079</v>
      </c>
      <c r="E29" s="71">
        <f>D29+12</f>
        <v>46091</v>
      </c>
      <c r="F29" s="15"/>
      <c r="G29" s="4">
        <f t="shared" si="5"/>
        <v>13</v>
      </c>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10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row>
    <row r="30" spans="1:63" s="40" customFormat="1" ht="30" customHeight="1" thickBot="1" x14ac:dyDescent="0.25">
      <c r="A30" s="12"/>
      <c r="B30" s="69" t="s">
        <v>52</v>
      </c>
      <c r="C30" s="70">
        <v>0</v>
      </c>
      <c r="D30" s="71">
        <f>E29+1</f>
        <v>46092</v>
      </c>
      <c r="E30" s="71">
        <f>D30+5</f>
        <v>46097</v>
      </c>
      <c r="F30" s="15"/>
      <c r="G30" s="4">
        <f t="shared" si="5"/>
        <v>6</v>
      </c>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10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row>
    <row r="31" spans="1:63" s="40" customFormat="1" ht="30" customHeight="1" thickBot="1" x14ac:dyDescent="0.25">
      <c r="A31" s="12"/>
      <c r="B31" s="69" t="s">
        <v>53</v>
      </c>
      <c r="C31" s="70">
        <v>0</v>
      </c>
      <c r="D31" s="71">
        <f>E30+1</f>
        <v>46098</v>
      </c>
      <c r="E31" s="71">
        <f>D31+3</f>
        <v>46101</v>
      </c>
      <c r="F31" s="15"/>
      <c r="G31" s="4">
        <f t="shared" si="5"/>
        <v>4</v>
      </c>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10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row>
    <row r="32" spans="1:63" s="40" customFormat="1" ht="30" customHeight="1" thickBot="1" x14ac:dyDescent="0.25">
      <c r="A32" s="12"/>
      <c r="B32" s="87" t="s">
        <v>45</v>
      </c>
      <c r="C32" s="88"/>
      <c r="D32" s="89"/>
      <c r="E32" s="90"/>
      <c r="F32" s="15"/>
      <c r="G32" s="4" t="str">
        <f t="shared" si="5"/>
        <v/>
      </c>
      <c r="O32" s="39"/>
      <c r="P32" s="39"/>
      <c r="Q32" s="39"/>
      <c r="R32" s="39"/>
      <c r="S32" s="39"/>
      <c r="T32" s="39"/>
      <c r="U32" s="39"/>
      <c r="V32" s="39"/>
      <c r="W32" s="39"/>
      <c r="X32" s="39"/>
      <c r="Y32" s="39"/>
      <c r="Z32" s="39"/>
      <c r="AA32" s="39"/>
      <c r="AB32" s="39"/>
      <c r="AC32" s="39"/>
      <c r="AD32" s="39"/>
      <c r="AE32" s="39"/>
      <c r="AF32" s="39"/>
      <c r="AG32" s="39"/>
      <c r="AH32" s="39"/>
      <c r="AI32" s="39"/>
      <c r="AJ32" s="39"/>
      <c r="AK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row>
    <row r="33" spans="1:63" s="40" customFormat="1" ht="30" customHeight="1" thickBot="1" x14ac:dyDescent="0.25">
      <c r="A33" s="12"/>
      <c r="B33" s="91" t="s">
        <v>47</v>
      </c>
      <c r="C33" s="92">
        <v>0</v>
      </c>
      <c r="D33" s="93">
        <f>E31+2</f>
        <v>46103</v>
      </c>
      <c r="E33" s="93">
        <f>D33+11</f>
        <v>46114</v>
      </c>
      <c r="F33" s="15"/>
      <c r="G33" s="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G33" s="44"/>
      <c r="BH33" s="44"/>
      <c r="BI33" s="44"/>
      <c r="BJ33" s="44"/>
      <c r="BK33" s="44"/>
    </row>
    <row r="34" spans="1:63" s="40" customFormat="1" ht="30" customHeight="1" thickBot="1" x14ac:dyDescent="0.25">
      <c r="A34" s="12"/>
      <c r="B34" s="94" t="s">
        <v>48</v>
      </c>
      <c r="C34" s="92">
        <v>0</v>
      </c>
      <c r="D34" s="93">
        <f>E33+1</f>
        <v>46115</v>
      </c>
      <c r="E34" s="93">
        <f>D34+7</f>
        <v>46122</v>
      </c>
      <c r="F34" s="15"/>
      <c r="G34" s="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P34" s="44"/>
      <c r="AQ34" s="44"/>
      <c r="AR34" s="44"/>
      <c r="AS34" s="44"/>
      <c r="AT34" s="44"/>
      <c r="AU34" s="44"/>
      <c r="AV34" s="44"/>
      <c r="AW34" s="44"/>
      <c r="AX34" s="44"/>
      <c r="AY34" s="44"/>
      <c r="AZ34" s="44"/>
      <c r="BA34" s="44"/>
      <c r="BB34" s="44"/>
      <c r="BC34" s="44"/>
      <c r="BD34" s="44"/>
      <c r="BE34" s="44"/>
      <c r="BF34" s="44"/>
      <c r="BG34" s="44"/>
      <c r="BH34" s="44"/>
      <c r="BI34" s="44"/>
      <c r="BJ34" s="44"/>
      <c r="BK34" s="44"/>
    </row>
    <row r="35" spans="1:63" s="40" customFormat="1" ht="30" customHeight="1" thickBot="1" x14ac:dyDescent="0.25">
      <c r="A35" s="12"/>
      <c r="B35" s="91" t="s">
        <v>49</v>
      </c>
      <c r="C35" s="92">
        <v>0</v>
      </c>
      <c r="D35" s="93">
        <f>E34+2</f>
        <v>46124</v>
      </c>
      <c r="E35" s="93">
        <f>D35+7</f>
        <v>46131</v>
      </c>
      <c r="F35" s="15"/>
      <c r="G35" s="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row>
    <row r="36" spans="1:63" s="40" customFormat="1" ht="30" customHeight="1" thickBot="1" x14ac:dyDescent="0.25">
      <c r="A36" s="12"/>
      <c r="B36" s="91" t="s">
        <v>50</v>
      </c>
      <c r="C36" s="92">
        <v>0</v>
      </c>
      <c r="D36" s="93">
        <f>E35+1</f>
        <v>46132</v>
      </c>
      <c r="E36" s="93">
        <f>D36+4</f>
        <v>46136</v>
      </c>
      <c r="F36" s="15"/>
      <c r="G36" s="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O36" s="44"/>
      <c r="AP36" s="44"/>
      <c r="AQ36" s="44"/>
      <c r="AR36" s="44"/>
      <c r="AS36" s="44"/>
      <c r="AT36" s="44"/>
      <c r="AU36" s="44"/>
      <c r="AV36" s="44"/>
      <c r="AW36" s="44"/>
      <c r="AX36" s="44"/>
      <c r="AY36" s="44"/>
      <c r="AZ36" s="44"/>
      <c r="BA36" s="44"/>
      <c r="BB36" s="44"/>
      <c r="BC36" s="44"/>
      <c r="BD36" s="44"/>
      <c r="BE36" s="44"/>
      <c r="BF36" s="44"/>
      <c r="BG36" s="44"/>
      <c r="BH36" s="44"/>
      <c r="BI36" s="44"/>
      <c r="BJ36" s="44"/>
      <c r="BK36" s="44"/>
    </row>
    <row r="37" spans="1:63" s="40" customFormat="1" ht="30" customHeight="1" thickBot="1" x14ac:dyDescent="0.25">
      <c r="A37" s="12"/>
      <c r="B37" s="91" t="s">
        <v>51</v>
      </c>
      <c r="C37" s="92">
        <v>0</v>
      </c>
      <c r="D37" s="93">
        <f>E36+1</f>
        <v>46137</v>
      </c>
      <c r="E37" s="93">
        <f>D37+1</f>
        <v>46138</v>
      </c>
      <c r="F37" s="15"/>
      <c r="G37" s="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10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row>
    <row r="38" spans="1:63" s="40" customFormat="1" ht="30" customHeight="1" thickBot="1" x14ac:dyDescent="0.25">
      <c r="A38" s="12"/>
      <c r="B38" s="95" t="s">
        <v>46</v>
      </c>
      <c r="C38" s="96"/>
      <c r="D38" s="97"/>
      <c r="E38" s="98"/>
      <c r="F38" s="15"/>
      <c r="G38" s="4"/>
    </row>
    <row r="39" spans="1:63" s="40" customFormat="1" ht="30" customHeight="1" thickBot="1" x14ac:dyDescent="0.25">
      <c r="A39" s="12"/>
      <c r="B39" s="99" t="s">
        <v>54</v>
      </c>
      <c r="C39" s="100">
        <v>0</v>
      </c>
      <c r="D39" s="101">
        <f>E29</f>
        <v>46091</v>
      </c>
      <c r="E39" s="101">
        <f>D39+5</f>
        <v>46096</v>
      </c>
      <c r="F39" s="15"/>
      <c r="G39" s="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row>
    <row r="40" spans="1:63" s="40" customFormat="1" ht="30" customHeight="1" thickBot="1" x14ac:dyDescent="0.25">
      <c r="A40" s="12"/>
      <c r="B40" s="99" t="s">
        <v>56</v>
      </c>
      <c r="C40" s="100">
        <v>0</v>
      </c>
      <c r="D40" s="101">
        <f>E39</f>
        <v>46096</v>
      </c>
      <c r="E40" s="101">
        <f>E37+7</f>
        <v>46145</v>
      </c>
      <c r="F40" s="15"/>
      <c r="G40" s="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row>
    <row r="41" spans="1:63" s="40" customFormat="1" ht="30" customHeight="1" thickBot="1" x14ac:dyDescent="0.25">
      <c r="A41" s="12"/>
      <c r="B41" s="99" t="s">
        <v>55</v>
      </c>
      <c r="C41" s="100">
        <v>0</v>
      </c>
      <c r="D41" s="101">
        <f>E40-2</f>
        <v>46143</v>
      </c>
      <c r="E41" s="101">
        <f>D41+2</f>
        <v>46145</v>
      </c>
      <c r="F41" s="15"/>
      <c r="G41" s="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44"/>
      <c r="BE41" s="44"/>
      <c r="BF41" s="44"/>
      <c r="BG41" s="44"/>
      <c r="BH41" s="44"/>
      <c r="BI41" s="44"/>
      <c r="BJ41" s="44"/>
      <c r="BK41" s="44"/>
    </row>
    <row r="42" spans="1:63" s="40" customFormat="1" ht="30" customHeight="1" thickBot="1" x14ac:dyDescent="0.25">
      <c r="A42" s="12"/>
      <c r="B42" s="99" t="s">
        <v>57</v>
      </c>
      <c r="C42" s="100">
        <v>0</v>
      </c>
      <c r="D42" s="101">
        <f>E35-4</f>
        <v>46127</v>
      </c>
      <c r="E42" s="101">
        <f>E41+1</f>
        <v>46146</v>
      </c>
      <c r="F42" s="15"/>
      <c r="G42" s="4"/>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4"/>
      <c r="BD42" s="44"/>
      <c r="BE42" s="44"/>
      <c r="BF42" s="44"/>
      <c r="BG42" s="44"/>
      <c r="BH42" s="44"/>
      <c r="BI42" s="44"/>
      <c r="BJ42" s="44"/>
      <c r="BK42" s="44"/>
    </row>
    <row r="43" spans="1:63" s="40" customFormat="1" ht="30" customHeight="1" thickBot="1" x14ac:dyDescent="0.25">
      <c r="A43" s="12"/>
      <c r="B43" s="99" t="s">
        <v>58</v>
      </c>
      <c r="C43" s="100">
        <v>0</v>
      </c>
      <c r="D43" s="101">
        <f>E42+3</f>
        <v>46149</v>
      </c>
      <c r="E43" s="101">
        <f>D43+4</f>
        <v>46153</v>
      </c>
      <c r="F43" s="15"/>
      <c r="G43" s="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4"/>
      <c r="BD43" s="44"/>
      <c r="BE43" s="44"/>
      <c r="BF43" s="44"/>
      <c r="BG43" s="44"/>
      <c r="BH43" s="44"/>
      <c r="BI43" s="44"/>
      <c r="BJ43" s="44"/>
      <c r="BK43" s="44"/>
    </row>
    <row r="44" spans="1:63" s="40" customFormat="1" ht="30" customHeight="1" thickBot="1" x14ac:dyDescent="0.25">
      <c r="A44" s="13"/>
      <c r="B44" s="72"/>
      <c r="C44" s="73"/>
      <c r="D44" s="74"/>
      <c r="E44" s="75"/>
      <c r="F44" s="75"/>
      <c r="G44" s="5" t="str">
        <f t="shared" si="5"/>
        <v/>
      </c>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76"/>
      <c r="AM44" s="76"/>
      <c r="AN44" s="76"/>
      <c r="AO44" s="76"/>
      <c r="AP44" s="76"/>
      <c r="AQ44" s="76"/>
      <c r="AR44" s="76"/>
      <c r="AS44" s="76"/>
      <c r="AT44" s="76"/>
      <c r="AU44" s="76"/>
      <c r="AV44" s="76"/>
      <c r="AW44" s="76"/>
      <c r="AX44" s="76"/>
      <c r="AY44" s="76"/>
      <c r="AZ44" s="76"/>
      <c r="BA44" s="76"/>
      <c r="BB44" s="76"/>
      <c r="BC44" s="76"/>
      <c r="BD44" s="76"/>
      <c r="BE44" s="76"/>
      <c r="BF44" s="76"/>
      <c r="BG44" s="76"/>
      <c r="BH44" s="76"/>
      <c r="BI44" s="76"/>
      <c r="BJ44" s="76"/>
      <c r="BK44" s="76"/>
    </row>
    <row r="45" spans="1:63" ht="30" customHeight="1" x14ac:dyDescent="0.2">
      <c r="F45" s="3"/>
    </row>
    <row r="46" spans="1:63" ht="30" customHeight="1" x14ac:dyDescent="0.2">
      <c r="E46" s="14"/>
    </row>
  </sheetData>
  <mergeCells count="17">
    <mergeCell ref="C5:C6"/>
    <mergeCell ref="B5:B6"/>
    <mergeCell ref="AA2:AJ2"/>
    <mergeCell ref="A5:A6"/>
    <mergeCell ref="AA1:AJ1"/>
    <mergeCell ref="BE4:BK4"/>
    <mergeCell ref="H4:N4"/>
    <mergeCell ref="O4:U4"/>
    <mergeCell ref="V4:AB4"/>
    <mergeCell ref="AC4:AI4"/>
    <mergeCell ref="AJ4:AP4"/>
    <mergeCell ref="AQ4:AW4"/>
    <mergeCell ref="AX4:BD4"/>
    <mergeCell ref="R1:Y1"/>
    <mergeCell ref="R2:Y2"/>
    <mergeCell ref="E5:E6"/>
    <mergeCell ref="D5:D6"/>
  </mergeCells>
  <conditionalFormatting sqref="C7:C44">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H4:Q31 S4:AL31 AN4:BB31 AN33:BB33 H33:Q37 S33:AL37 AP34:BB34 AN35:BB35 AO36:BB36 AN37:BB37 H39:Q43 S39:AL43 AN39:BB43 BD39:BK43 BD33:BK37 BD4:BK31">
    <cfRule type="expression" dxfId="23" priority="1">
      <formula>AND(TODAY()&gt;=H$5, TODAY()&lt;I$5)</formula>
    </cfRule>
  </conditionalFormatting>
  <conditionalFormatting sqref="H9:Q13 S9:AL13 AN9:BB13 BD9:BK13">
    <cfRule type="expression" dxfId="22" priority="6">
      <formula>AND(task_start&lt;=H$5,ROUNDDOWN((task_end-task_start+1)*task_progress,0)+task_start-1&gt;=H$5)</formula>
    </cfRule>
    <cfRule type="expression" dxfId="21" priority="7" stopIfTrue="1">
      <formula>AND(task_end&gt;=H$5,task_start&lt;I$5)</formula>
    </cfRule>
  </conditionalFormatting>
  <conditionalFormatting sqref="H15:Q19 S15:AL19 AN15:BB19 BD15:BK19">
    <cfRule type="expression" dxfId="20" priority="4">
      <formula>AND(task_start&lt;=H$5,ROUNDDOWN((task_end-task_start+1)*task_progress,0)+task_start-1&gt;=H$5)</formula>
    </cfRule>
    <cfRule type="expression" dxfId="19" priority="5" stopIfTrue="1">
      <formula>AND(task_end&gt;=H$5,task_start&lt;I$5)</formula>
    </cfRule>
  </conditionalFormatting>
  <conditionalFormatting sqref="H21:Q25 S21:AL25 AN21:BB25 BD21:BK25">
    <cfRule type="expression" dxfId="18" priority="2">
      <formula>AND(task_start&lt;=H$5,ROUNDDOWN((task_end-task_start+1)*task_progress,0)+task_start-1&gt;=H$5)</formula>
    </cfRule>
    <cfRule type="expression" dxfId="17" priority="3" stopIfTrue="1">
      <formula>AND(task_end&gt;=H$5,task_start&lt;I$5)</formula>
    </cfRule>
  </conditionalFormatting>
  <conditionalFormatting sqref="H27:Q31 S27:AL31 AN27:BB31 AN33:BB33 H33:Q37 S33:AL37 AP34:BB34 AN35:BB35 AO36:BB36 AN37:BB37 H39:Q43 S39:AL43 AN39:BB43 BD39:BK43 BD33:BK37 BD27:BK31">
    <cfRule type="expression" dxfId="16" priority="36">
      <formula>AND(task_start&lt;=H$5,ROUNDDOWN((task_end-task_start+1)*task_progress,0)+task_start-1&gt;=H$5)</formula>
    </cfRule>
    <cfRule type="expression" dxfId="15" priority="37" stopIfTrue="1">
      <formula>AND(task_end&gt;=H$5,task_start&lt;I$5)</formula>
    </cfRule>
  </conditionalFormatting>
  <conditionalFormatting sqref="J31 AN34">
    <cfRule type="expression" dxfId="14" priority="39">
      <formula>AND(TODAY()&gt;=K$5, TODAY()&lt;L$5)</formula>
    </cfRule>
    <cfRule type="expression" dxfId="13" priority="42">
      <formula>AND(task_start&lt;=K$5,ROUNDDOWN((task_end-task_start+1)*task_progress,0)+task_start-1&gt;=K$5)</formula>
    </cfRule>
    <cfRule type="expression" dxfId="12" priority="43" stopIfTrue="1">
      <formula>AND(task_end&gt;=K$5,task_start&lt;L$5)</formula>
    </cfRule>
  </conditionalFormatting>
  <dataValidations count="13">
    <dataValidation type="whole" operator="greaterThanOrEqual" allowBlank="1" showInputMessage="1" promptTitle="Display Week" prompt="Changing this number will scroll the Gantt Chart view." sqref="AA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44"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E18"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C7:C44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75" x14ac:dyDescent="0.2"/>
  <cols>
    <col min="1" max="1" width="87" style="6" customWidth="1"/>
    <col min="2" max="16384" width="9" style="1"/>
  </cols>
  <sheetData>
    <row r="1" spans="1:2" ht="46.5" customHeight="1" x14ac:dyDescent="0.2"/>
    <row r="2" spans="1:2" s="8" customFormat="1" ht="15.75" x14ac:dyDescent="0.2">
      <c r="A2" s="78" t="s">
        <v>7</v>
      </c>
      <c r="B2" s="7"/>
    </row>
    <row r="3" spans="1:2" s="10" customFormat="1" ht="27" customHeight="1" x14ac:dyDescent="0.2">
      <c r="A3" s="79"/>
      <c r="B3" s="11"/>
    </row>
    <row r="4" spans="1:2" s="9" customFormat="1" ht="31.5" x14ac:dyDescent="0.6">
      <c r="A4" s="80" t="s">
        <v>6</v>
      </c>
    </row>
    <row r="5" spans="1:2" ht="74.25" customHeight="1" x14ac:dyDescent="0.2">
      <c r="A5" s="81" t="s">
        <v>14</v>
      </c>
    </row>
    <row r="6" spans="1:2" ht="26.25" customHeight="1" x14ac:dyDescent="0.2">
      <c r="A6" s="80" t="s">
        <v>17</v>
      </c>
    </row>
    <row r="7" spans="1:2" s="6" customFormat="1" ht="205.15" customHeight="1" x14ac:dyDescent="0.2">
      <c r="A7" s="82" t="s">
        <v>16</v>
      </c>
    </row>
    <row r="8" spans="1:2" s="9" customFormat="1" ht="31.5" x14ac:dyDescent="0.6">
      <c r="A8" s="80" t="s">
        <v>8</v>
      </c>
    </row>
    <row r="9" spans="1:2" ht="57" x14ac:dyDescent="0.2">
      <c r="A9" s="81" t="s">
        <v>15</v>
      </c>
    </row>
    <row r="10" spans="1:2" s="6" customFormat="1" ht="28.15" customHeight="1" x14ac:dyDescent="0.2">
      <c r="A10" s="83" t="s">
        <v>13</v>
      </c>
    </row>
    <row r="11" spans="1:2" s="9" customFormat="1" ht="31.5" x14ac:dyDescent="0.6">
      <c r="A11" s="80" t="s">
        <v>5</v>
      </c>
    </row>
    <row r="12" spans="1:2" ht="28.5" x14ac:dyDescent="0.2">
      <c r="A12" s="81" t="s">
        <v>12</v>
      </c>
    </row>
    <row r="13" spans="1:2" s="6" customFormat="1" ht="28.15" customHeight="1" x14ac:dyDescent="0.2">
      <c r="A13" s="83" t="s">
        <v>1</v>
      </c>
    </row>
    <row r="14" spans="1:2" s="9" customFormat="1" ht="31.5" x14ac:dyDescent="0.6">
      <c r="A14" s="80" t="s">
        <v>9</v>
      </c>
    </row>
    <row r="15" spans="1:2" ht="75" customHeight="1" x14ac:dyDescent="0.2">
      <c r="A15" s="81" t="s">
        <v>10</v>
      </c>
    </row>
    <row r="16" spans="1:2" ht="71.25" x14ac:dyDescent="0.2">
      <c r="A16" s="81" t="s">
        <v>11</v>
      </c>
    </row>
    <row r="17" spans="1:1" x14ac:dyDescent="0.2">
      <c r="A17" s="84"/>
    </row>
    <row r="18" spans="1:1" x14ac:dyDescent="0.2">
      <c r="A18" s="84"/>
    </row>
    <row r="19" spans="1:1" x14ac:dyDescent="0.2">
      <c r="A19" s="84"/>
    </row>
    <row r="20" spans="1:1" x14ac:dyDescent="0.2">
      <c r="A20" s="84"/>
    </row>
    <row r="21" spans="1:1" x14ac:dyDescent="0.2">
      <c r="A21" s="84"/>
    </row>
    <row r="22" spans="1:1" x14ac:dyDescent="0.2">
      <c r="A22" s="84"/>
    </row>
    <row r="23" spans="1:1" x14ac:dyDescent="0.2">
      <c r="A23" s="84"/>
    </row>
    <row r="24" spans="1:1" x14ac:dyDescent="0.2">
      <c r="A24" s="84"/>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 Chibuenyim Ukenna</dc:creator>
  <dc:description/>
  <cp:lastModifiedBy>(s) Chibuenyim Ukenna</cp:lastModifiedBy>
  <dcterms:created xsi:type="dcterms:W3CDTF">2022-03-11T22:41:12Z</dcterms:created>
  <dcterms:modified xsi:type="dcterms:W3CDTF">2025-11-08T13:44:47Z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